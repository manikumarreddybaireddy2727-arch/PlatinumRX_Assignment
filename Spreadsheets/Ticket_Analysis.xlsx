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2c8dfef660537ff2/Documents/"/>
    </mc:Choice>
  </mc:AlternateContent>
  <xr:revisionPtr revIDLastSave="10" documentId="8_{D310A4AA-4A7C-44AD-B813-F16A63339C60}" xr6:coauthVersionLast="47" xr6:coauthVersionMax="47" xr10:uidLastSave="{24537FA6-0180-4824-840E-6A0B53DBEE4C}"/>
  <bookViews>
    <workbookView xWindow="-108" yWindow="-108" windowWidth="23256" windowHeight="12456" activeTab="1" xr2:uid="{BD941F5B-F62D-4E6F-8FB9-A1F24DD70025}"/>
  </bookViews>
  <sheets>
    <sheet name="ticket" sheetId="1" r:id="rId1"/>
    <sheet name="feedback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F6" i="2" l="1"/>
  <c r="E6" i="2"/>
  <c r="D6" i="2"/>
  <c r="E3" i="2"/>
  <c r="E4" i="2"/>
  <c r="E2" i="2"/>
  <c r="D3" i="2"/>
  <c r="D4" i="2"/>
  <c r="D2" i="2"/>
  <c r="C4" i="2"/>
  <c r="C3" i="2"/>
  <c r="C2" i="2"/>
</calcChain>
</file>

<file path=xl/sharedStrings.xml><?xml version="1.0" encoding="utf-8"?>
<sst xmlns="http://schemas.openxmlformats.org/spreadsheetml/2006/main" count="11" uniqueCount="9">
  <si>
    <t>cms_id</t>
  </si>
  <si>
    <t>created_at</t>
  </si>
  <si>
    <t>closed_at</t>
  </si>
  <si>
    <t>feedback</t>
  </si>
  <si>
    <t>Good</t>
  </si>
  <si>
    <t>Bad</t>
  </si>
  <si>
    <t>Average</t>
  </si>
  <si>
    <t>Same Day</t>
  </si>
  <si>
    <t>Same Hour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</si>
</sst>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3C5BD0-F91E-4D14-A58E-3ABEEED0B7FF}">
  <dimension ref="A1:C4"/>
  <sheetViews>
    <sheetView workbookViewId="0">
      <selection activeCell="C5" sqref="C5"/>
    </sheetView>
  </sheetViews>
  <sheetFormatPr defaultRowHeight="14.4" x14ac:dyDescent="0.3"/>
  <cols>
    <col min="2" max="2" width="16.44140625" customWidth="1"/>
    <col min="3" max="3" width="15.44140625" bestFit="1" customWidth="1"/>
  </cols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>
        <v>1</v>
      </c>
      <c r="B2" s="1">
        <v>45658.416666666664</v>
      </c>
      <c r="C2" s="1">
        <v>45658.4375</v>
      </c>
    </row>
    <row r="3" spans="1:3" x14ac:dyDescent="0.3">
      <c r="A3">
        <v>2</v>
      </c>
      <c r="B3" s="1">
        <v>45658.458333333336</v>
      </c>
      <c r="C3" s="1">
        <v>45658.5</v>
      </c>
    </row>
    <row r="4" spans="1:3" x14ac:dyDescent="0.3">
      <c r="A4">
        <v>3</v>
      </c>
      <c r="B4" s="1">
        <v>45658.416666666664</v>
      </c>
      <c r="C4" s="1">
        <v>45659.416666666664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4CC44C-3BF8-4B0D-B548-8F90CCC53A56}">
  <dimension ref="A1:F6"/>
  <sheetViews>
    <sheetView tabSelected="1" workbookViewId="0">
      <selection activeCell="F7" sqref="F7"/>
    </sheetView>
  </sheetViews>
  <sheetFormatPr defaultRowHeight="14.4" x14ac:dyDescent="0.3"/>
  <cols>
    <col min="3" max="3" width="10" customWidth="1"/>
    <col min="5" max="5" width="10" customWidth="1"/>
  </cols>
  <sheetData>
    <row r="1" spans="1:6" x14ac:dyDescent="0.3">
      <c r="A1" t="s">
        <v>0</v>
      </c>
      <c r="B1" t="s">
        <v>3</v>
      </c>
      <c r="C1" t="s">
        <v>1</v>
      </c>
      <c r="D1" t="s">
        <v>7</v>
      </c>
      <c r="E1" t="s">
        <v>8</v>
      </c>
    </row>
    <row r="2" spans="1:6" x14ac:dyDescent="0.3">
      <c r="A2">
        <v>1</v>
      </c>
      <c r="B2" t="s">
        <v>4</v>
      </c>
      <c r="C2">
        <f>VLOOKUP(A2, ticket!A:C, 2, FALSE)</f>
        <v>45658.416666666664</v>
      </c>
      <c r="D2" t="b">
        <f>INT(C2)=INT(VLOOKUP(A2, ticket!A:C, 3, FALSE))</f>
        <v>1</v>
      </c>
      <c r="E2" t="b">
        <f>HOUR(C2)=HOUR(VLOOKUP(A2, ticket!A:C, 3, FALSE))</f>
        <v>1</v>
      </c>
    </row>
    <row r="3" spans="1:6" x14ac:dyDescent="0.3">
      <c r="A3">
        <v>2</v>
      </c>
      <c r="B3" t="s">
        <v>5</v>
      </c>
      <c r="C3">
        <f>VLOOKUP(A3, ticket!A:C, 2, FALSE)</f>
        <v>45658.458333333336</v>
      </c>
      <c r="D3" t="b">
        <f>INT(C3)=INT(VLOOKUP(A3, ticket!A:C, 3, FALSE))</f>
        <v>1</v>
      </c>
      <c r="E3" t="b">
        <f>HOUR(C3)=HOUR(VLOOKUP(A3, ticket!A:C, 3, FALSE))</f>
        <v>0</v>
      </c>
    </row>
    <row r="4" spans="1:6" x14ac:dyDescent="0.3">
      <c r="A4">
        <v>3</v>
      </c>
      <c r="B4" t="s">
        <v>6</v>
      </c>
      <c r="C4">
        <f>VLOOKUP(A4, ticket!A:C, 2, FALSE)</f>
        <v>45658.416666666664</v>
      </c>
      <c r="D4" t="b">
        <f>INT(C4)=INT(VLOOKUP(A4, ticket!A:C, 3, FALSE))</f>
        <v>0</v>
      </c>
      <c r="E4" t="b">
        <f>HOUR(C4)=HOUR(VLOOKUP(A4, ticket!A:C, 3, FALSE))</f>
        <v>1</v>
      </c>
    </row>
    <row r="6" spans="1:6" x14ac:dyDescent="0.3">
      <c r="D6">
        <f>COUNTIF(D2:D4, TRUE)</f>
        <v>2</v>
      </c>
      <c r="E6">
        <f>COUNTIF(E2:E4, TRUE)</f>
        <v>2</v>
      </c>
      <c r="F6">
        <f>COUNTIFS(D2:D4, TRUE, E2:E4, TRUE)</f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ticket</vt:lpstr>
      <vt:lpstr>feedbacks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Karthik Reddy</dc:creator>
  <cp:lastModifiedBy>Karthik Reddy</cp:lastModifiedBy>
  <dcterms:created xsi:type="dcterms:W3CDTF">2026-04-08T18:36:33Z</dcterms:created>
  <dcterms:modified xsi:type="dcterms:W3CDTF">2026-04-08T20:17:22Z</dcterms:modified>
</cp:coreProperties>
</file>